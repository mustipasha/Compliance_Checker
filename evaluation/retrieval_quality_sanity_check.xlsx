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Musta/Documents/Universiy of Vienna/5. Semester/MA/Evaluation/"/>
    </mc:Choice>
  </mc:AlternateContent>
  <xr:revisionPtr revIDLastSave="0" documentId="8_{B98D5C42-57BE-1649-8F0B-289500031B9F}" xr6:coauthVersionLast="47" xr6:coauthVersionMax="47" xr10:uidLastSave="{00000000-0000-0000-0000-000000000000}"/>
  <bookViews>
    <workbookView xWindow="0" yWindow="660" windowWidth="29400" windowHeight="18460" xr2:uid="{E237E8BC-0110-0E43-89B9-1CEDFD754E8C}"/>
  </bookViews>
  <sheets>
    <sheet name="Retrieval-Quality (new)" sheetId="1" r:id="rId1"/>
  </sheets>
  <definedNames>
    <definedName name="_xlnm._FilterDatabase" localSheetId="0" hidden="1">'Retrieval-Quality (new)'!$A$1:$H$34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1" l="1"/>
  <c r="C34" i="1"/>
  <c r="B34" i="1"/>
  <c r="E33" i="1"/>
  <c r="D33" i="1"/>
  <c r="E32" i="1"/>
  <c r="D32" i="1"/>
  <c r="E31" i="1"/>
  <c r="D31" i="1"/>
  <c r="D34" i="1" s="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alcChain>
</file>

<file path=xl/sharedStrings.xml><?xml version="1.0" encoding="utf-8"?>
<sst xmlns="http://schemas.openxmlformats.org/spreadsheetml/2006/main" count="15" uniqueCount="13">
  <si>
    <t>Criteria</t>
  </si>
  <si>
    <t>Rel_retriev</t>
  </si>
  <si>
    <t>All_rel</t>
  </si>
  <si>
    <t>Recall</t>
  </si>
  <si>
    <t>Precision</t>
  </si>
  <si>
    <t>k</t>
  </si>
  <si>
    <t>1 eigentlich relevant aber 2</t>
  </si>
  <si>
    <t>done</t>
  </si>
  <si>
    <t>What post-market monitoring methods are required for assessing and mitigating systemic risk, and under what conditions and safeguards must independent external evaluators be granted access to model versions, chains-of-thought, and safety-reduced model variants, including protections against legal retaliation and responsible vulnerability disclosure timelines?</t>
  </si>
  <si>
    <t>What must the Model Report document regarding systemic risk identification, modelling, and estimates, including model evaluation results with random input/output samples, comparisons between safety-mitigated and fully elicited model versions, independent external evaluator access, Security Goal and mitigation limitations, and planned future model capabilities over the next six months?</t>
  </si>
  <si>
    <t>How must signatories assign systemic risk oversight, ownership, support and monitoring, and assurance responsibilities across the management body in its supervisory and executive functions, operational teams, and internal and external assurance providers, including role-specific requirements such as separation from core business activities and cascading responsibility structures for SMEs and SMCs?</t>
  </si>
  <si>
    <t>1 eigentlich relevant genug aber 2</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</si>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</sst>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9" fontId="0" fillId="0" borderId="0" xfId="1" applyFont="1"/>
    <xf numFmtId="2"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E3DE-E320-6A4F-8016-6F82378B2DA8}">
  <dimension ref="A1:H35"/>
  <sheetViews>
    <sheetView tabSelected="1" zoomScale="167" workbookViewId="0">
      <selection activeCell="F20" sqref="F20"/>
    </sheetView>
  </sheetViews>
  <sheetFormatPr baseColWidth="10" defaultRowHeight="16" x14ac:dyDescent="0.2"/>
  <cols>
    <col min="6" max="6" width="28.33203125" bestFit="1" customWidth="1"/>
  </cols>
  <sheetData>
    <row r="1" spans="1:8" x14ac:dyDescent="0.2">
      <c r="A1" t="s">
        <v>0</v>
      </c>
      <c r="B1" t="s">
        <v>1</v>
      </c>
      <c r="C1" t="s">
        <v>2</v>
      </c>
      <c r="D1" t="s">
        <v>3</v>
      </c>
      <c r="E1" t="s">
        <v>4</v>
      </c>
      <c r="G1" t="s">
        <v>5</v>
      </c>
      <c r="H1">
        <v>5</v>
      </c>
    </row>
    <row r="2" spans="1:8" x14ac:dyDescent="0.2">
      <c r="A2">
        <v>1.1000000000000001</v>
      </c>
      <c r="B2">
        <v>2</v>
      </c>
      <c r="C2">
        <v>3</v>
      </c>
      <c r="D2" s="1">
        <f>B2/C2</f>
        <v>0.66666666666666663</v>
      </c>
      <c r="E2" s="1">
        <f>B2/$H$1</f>
        <v>0.4</v>
      </c>
    </row>
    <row r="3" spans="1:8" x14ac:dyDescent="0.2">
      <c r="A3">
        <v>1.2</v>
      </c>
      <c r="B3">
        <v>3</v>
      </c>
      <c r="C3">
        <v>3</v>
      </c>
      <c r="D3" s="1">
        <f t="shared" ref="D3:D33" si="0">B3/C3</f>
        <v>1</v>
      </c>
      <c r="E3" s="1">
        <f t="shared" ref="E3:E33" si="1">B3/$H$1</f>
        <v>0.6</v>
      </c>
    </row>
    <row r="4" spans="1:8" x14ac:dyDescent="0.2">
      <c r="A4">
        <v>1.3</v>
      </c>
      <c r="B4">
        <v>2</v>
      </c>
      <c r="C4">
        <v>3</v>
      </c>
      <c r="D4" s="1">
        <f t="shared" si="0"/>
        <v>0.66666666666666663</v>
      </c>
      <c r="E4" s="1">
        <f t="shared" si="1"/>
        <v>0.4</v>
      </c>
    </row>
    <row r="5" spans="1:8" x14ac:dyDescent="0.2">
      <c r="A5">
        <v>1.4</v>
      </c>
      <c r="B5">
        <v>1</v>
      </c>
      <c r="C5">
        <v>1</v>
      </c>
      <c r="D5" s="1">
        <f t="shared" si="0"/>
        <v>1</v>
      </c>
      <c r="E5" s="1">
        <f t="shared" si="1"/>
        <v>0.2</v>
      </c>
    </row>
    <row r="6" spans="1:8" x14ac:dyDescent="0.2">
      <c r="A6">
        <v>2.1</v>
      </c>
      <c r="B6">
        <v>2</v>
      </c>
      <c r="C6">
        <v>2</v>
      </c>
      <c r="D6" s="1">
        <f t="shared" si="0"/>
        <v>1</v>
      </c>
      <c r="E6" s="1">
        <f t="shared" si="1"/>
        <v>0.4</v>
      </c>
    </row>
    <row r="7" spans="1:8" x14ac:dyDescent="0.2">
      <c r="A7">
        <v>2.2000000000000002</v>
      </c>
      <c r="B7">
        <v>1</v>
      </c>
      <c r="C7">
        <v>1</v>
      </c>
      <c r="D7" s="1">
        <f t="shared" si="0"/>
        <v>1</v>
      </c>
      <c r="E7" s="1">
        <f t="shared" si="1"/>
        <v>0.2</v>
      </c>
    </row>
    <row r="8" spans="1:8" x14ac:dyDescent="0.2">
      <c r="A8">
        <v>3.1</v>
      </c>
      <c r="B8">
        <v>2</v>
      </c>
      <c r="C8">
        <v>2</v>
      </c>
      <c r="D8" s="1">
        <f t="shared" si="0"/>
        <v>1</v>
      </c>
      <c r="E8" s="1">
        <f t="shared" si="1"/>
        <v>0.4</v>
      </c>
    </row>
    <row r="9" spans="1:8" x14ac:dyDescent="0.2">
      <c r="A9">
        <v>3.2</v>
      </c>
      <c r="B9">
        <v>2</v>
      </c>
      <c r="C9">
        <v>2</v>
      </c>
      <c r="D9" s="1">
        <f t="shared" si="0"/>
        <v>1</v>
      </c>
      <c r="E9" s="1">
        <f t="shared" si="1"/>
        <v>0.4</v>
      </c>
    </row>
    <row r="10" spans="1:8" x14ac:dyDescent="0.2">
      <c r="A10">
        <v>3.3</v>
      </c>
      <c r="B10">
        <v>1</v>
      </c>
      <c r="C10">
        <v>1</v>
      </c>
      <c r="D10" s="1">
        <f t="shared" si="0"/>
        <v>1</v>
      </c>
      <c r="E10" s="1">
        <f t="shared" si="1"/>
        <v>0.2</v>
      </c>
    </row>
    <row r="11" spans="1:8" x14ac:dyDescent="0.2">
      <c r="A11">
        <v>3.4</v>
      </c>
      <c r="B11">
        <v>1</v>
      </c>
      <c r="C11">
        <v>2</v>
      </c>
      <c r="D11" s="1">
        <f t="shared" si="0"/>
        <v>0.5</v>
      </c>
      <c r="E11" s="1">
        <f t="shared" si="1"/>
        <v>0.2</v>
      </c>
      <c r="F11" t="s">
        <v>6</v>
      </c>
    </row>
    <row r="12" spans="1:8" x14ac:dyDescent="0.2">
      <c r="A12">
        <v>3.5</v>
      </c>
      <c r="B12">
        <v>3</v>
      </c>
      <c r="C12">
        <v>5</v>
      </c>
      <c r="D12" s="1">
        <f t="shared" si="0"/>
        <v>0.6</v>
      </c>
      <c r="E12" s="1">
        <f t="shared" si="1"/>
        <v>0.6</v>
      </c>
      <c r="F12" t="s">
        <v>7</v>
      </c>
      <c r="G12" t="s">
        <v>8</v>
      </c>
    </row>
    <row r="13" spans="1:8" x14ac:dyDescent="0.2">
      <c r="A13">
        <v>4.0999999999999996</v>
      </c>
      <c r="B13">
        <v>2</v>
      </c>
      <c r="C13">
        <v>2</v>
      </c>
      <c r="D13" s="1">
        <f t="shared" si="0"/>
        <v>1</v>
      </c>
      <c r="E13" s="1">
        <f t="shared" si="1"/>
        <v>0.4</v>
      </c>
    </row>
    <row r="14" spans="1:8" x14ac:dyDescent="0.2">
      <c r="A14">
        <v>4.2</v>
      </c>
      <c r="B14">
        <v>2</v>
      </c>
      <c r="C14">
        <v>2</v>
      </c>
      <c r="D14" s="1">
        <f t="shared" si="0"/>
        <v>1</v>
      </c>
      <c r="E14" s="1">
        <f t="shared" si="1"/>
        <v>0.4</v>
      </c>
    </row>
    <row r="15" spans="1:8" x14ac:dyDescent="0.2">
      <c r="A15">
        <v>5.0999999999999996</v>
      </c>
      <c r="B15">
        <v>1</v>
      </c>
      <c r="C15">
        <v>2</v>
      </c>
      <c r="D15" s="1">
        <f t="shared" si="0"/>
        <v>0.5</v>
      </c>
      <c r="E15" s="1">
        <f t="shared" si="1"/>
        <v>0.2</v>
      </c>
      <c r="F15" t="s">
        <v>7</v>
      </c>
    </row>
    <row r="16" spans="1:8" x14ac:dyDescent="0.2">
      <c r="A16">
        <v>6.1</v>
      </c>
      <c r="B16">
        <v>1</v>
      </c>
      <c r="C16">
        <v>1</v>
      </c>
      <c r="D16" s="1">
        <f t="shared" si="0"/>
        <v>1</v>
      </c>
      <c r="E16" s="1">
        <f t="shared" si="1"/>
        <v>0.2</v>
      </c>
    </row>
    <row r="17" spans="1:7" x14ac:dyDescent="0.2">
      <c r="A17">
        <v>6.2</v>
      </c>
      <c r="B17">
        <v>2</v>
      </c>
      <c r="C17">
        <v>2</v>
      </c>
      <c r="D17" s="1">
        <f t="shared" si="0"/>
        <v>1</v>
      </c>
      <c r="E17" s="1">
        <f t="shared" si="1"/>
        <v>0.4</v>
      </c>
    </row>
    <row r="18" spans="1:7" x14ac:dyDescent="0.2">
      <c r="A18">
        <v>7.1</v>
      </c>
      <c r="B18">
        <v>1</v>
      </c>
      <c r="C18">
        <v>1</v>
      </c>
      <c r="D18" s="1">
        <f t="shared" si="0"/>
        <v>1</v>
      </c>
      <c r="E18" s="1">
        <f t="shared" si="1"/>
        <v>0.2</v>
      </c>
    </row>
    <row r="19" spans="1:7" x14ac:dyDescent="0.2">
      <c r="A19">
        <v>7.2</v>
      </c>
      <c r="B19">
        <v>1</v>
      </c>
      <c r="C19">
        <v>1</v>
      </c>
      <c r="D19" s="1">
        <f t="shared" si="0"/>
        <v>1</v>
      </c>
      <c r="E19" s="1">
        <f t="shared" si="1"/>
        <v>0.2</v>
      </c>
    </row>
    <row r="20" spans="1:7" x14ac:dyDescent="0.2">
      <c r="A20">
        <v>7.3</v>
      </c>
      <c r="B20">
        <v>4</v>
      </c>
      <c r="C20">
        <v>4</v>
      </c>
      <c r="D20" s="1">
        <f t="shared" si="0"/>
        <v>1</v>
      </c>
      <c r="E20" s="1">
        <f t="shared" si="1"/>
        <v>0.8</v>
      </c>
      <c r="F20" t="s">
        <v>7</v>
      </c>
      <c r="G20" t="s">
        <v>9</v>
      </c>
    </row>
    <row r="21" spans="1:7" x14ac:dyDescent="0.2">
      <c r="A21">
        <v>7.4</v>
      </c>
      <c r="B21">
        <v>2</v>
      </c>
      <c r="C21">
        <v>2</v>
      </c>
      <c r="D21" s="1">
        <f t="shared" si="0"/>
        <v>1</v>
      </c>
      <c r="E21" s="1">
        <f t="shared" si="1"/>
        <v>0.4</v>
      </c>
    </row>
    <row r="22" spans="1:7" x14ac:dyDescent="0.2">
      <c r="A22">
        <v>7.5</v>
      </c>
      <c r="B22">
        <v>2</v>
      </c>
      <c r="C22">
        <v>2</v>
      </c>
      <c r="D22" s="1">
        <f t="shared" si="0"/>
        <v>1</v>
      </c>
      <c r="E22" s="1">
        <f t="shared" si="1"/>
        <v>0.4</v>
      </c>
    </row>
    <row r="23" spans="1:7" x14ac:dyDescent="0.2">
      <c r="A23">
        <v>7.6</v>
      </c>
      <c r="B23">
        <v>3</v>
      </c>
      <c r="C23">
        <v>3</v>
      </c>
      <c r="D23" s="1">
        <f t="shared" si="0"/>
        <v>1</v>
      </c>
      <c r="E23" s="1">
        <f t="shared" si="1"/>
        <v>0.6</v>
      </c>
    </row>
    <row r="24" spans="1:7" x14ac:dyDescent="0.2">
      <c r="A24">
        <v>7.7</v>
      </c>
      <c r="B24">
        <v>2</v>
      </c>
      <c r="C24">
        <v>2</v>
      </c>
      <c r="D24" s="1">
        <f t="shared" si="0"/>
        <v>1</v>
      </c>
      <c r="E24" s="1">
        <f t="shared" si="1"/>
        <v>0.4</v>
      </c>
    </row>
    <row r="25" spans="1:7" x14ac:dyDescent="0.2">
      <c r="A25">
        <v>8.1</v>
      </c>
      <c r="B25">
        <v>4</v>
      </c>
      <c r="C25">
        <v>5</v>
      </c>
      <c r="D25" s="1">
        <f t="shared" si="0"/>
        <v>0.8</v>
      </c>
      <c r="E25" s="1">
        <f t="shared" si="1"/>
        <v>0.8</v>
      </c>
      <c r="G25" t="s">
        <v>10</v>
      </c>
    </row>
    <row r="26" spans="1:7" x14ac:dyDescent="0.2">
      <c r="A26">
        <v>8.1999999999999993</v>
      </c>
      <c r="B26">
        <v>1</v>
      </c>
      <c r="C26">
        <v>1</v>
      </c>
      <c r="D26" s="1">
        <f t="shared" si="0"/>
        <v>1</v>
      </c>
      <c r="E26" s="1">
        <f t="shared" si="1"/>
        <v>0.2</v>
      </c>
    </row>
    <row r="27" spans="1:7" x14ac:dyDescent="0.2">
      <c r="A27">
        <v>8.3000000000000007</v>
      </c>
      <c r="B27">
        <v>1</v>
      </c>
      <c r="C27">
        <v>2</v>
      </c>
      <c r="D27" s="1">
        <f t="shared" si="0"/>
        <v>0.5</v>
      </c>
      <c r="E27" s="1">
        <f t="shared" si="1"/>
        <v>0.2</v>
      </c>
      <c r="F27" t="s">
        <v>11</v>
      </c>
    </row>
    <row r="28" spans="1:7" x14ac:dyDescent="0.2">
      <c r="A28">
        <v>9.1</v>
      </c>
      <c r="B28">
        <v>2</v>
      </c>
      <c r="C28">
        <v>2</v>
      </c>
      <c r="D28" s="1">
        <f t="shared" si="0"/>
        <v>1</v>
      </c>
      <c r="E28" s="1">
        <f t="shared" si="1"/>
        <v>0.4</v>
      </c>
    </row>
    <row r="29" spans="1:7" x14ac:dyDescent="0.2">
      <c r="A29">
        <v>9.1999999999999993</v>
      </c>
      <c r="B29">
        <v>2</v>
      </c>
      <c r="C29">
        <v>2</v>
      </c>
      <c r="D29" s="1">
        <f t="shared" si="0"/>
        <v>1</v>
      </c>
      <c r="E29" s="1">
        <f t="shared" si="1"/>
        <v>0.4</v>
      </c>
    </row>
    <row r="30" spans="1:7" x14ac:dyDescent="0.2">
      <c r="A30">
        <v>9.3000000000000007</v>
      </c>
      <c r="B30">
        <v>2</v>
      </c>
      <c r="C30">
        <v>2</v>
      </c>
      <c r="D30" s="1">
        <f t="shared" si="0"/>
        <v>1</v>
      </c>
      <c r="E30" s="1">
        <f t="shared" si="1"/>
        <v>0.4</v>
      </c>
    </row>
    <row r="31" spans="1:7" x14ac:dyDescent="0.2">
      <c r="A31">
        <v>9.4</v>
      </c>
      <c r="B31">
        <v>1</v>
      </c>
      <c r="C31">
        <v>1</v>
      </c>
      <c r="D31" s="1">
        <f t="shared" si="0"/>
        <v>1</v>
      </c>
      <c r="E31" s="1">
        <f t="shared" si="1"/>
        <v>0.2</v>
      </c>
    </row>
    <row r="32" spans="1:7" x14ac:dyDescent="0.2">
      <c r="A32">
        <v>10.1</v>
      </c>
      <c r="B32">
        <v>2</v>
      </c>
      <c r="C32">
        <v>2</v>
      </c>
      <c r="D32" s="1">
        <f t="shared" si="0"/>
        <v>1</v>
      </c>
      <c r="E32" s="1">
        <f t="shared" si="1"/>
        <v>0.4</v>
      </c>
    </row>
    <row r="33" spans="1:8" x14ac:dyDescent="0.2">
      <c r="A33">
        <v>10.199999999999999</v>
      </c>
      <c r="B33">
        <v>1</v>
      </c>
      <c r="C33">
        <v>1</v>
      </c>
      <c r="D33" s="1">
        <f t="shared" si="0"/>
        <v>1</v>
      </c>
      <c r="E33" s="1">
        <f>B33/$H$1</f>
        <v>0.2</v>
      </c>
    </row>
    <row r="34" spans="1:8" x14ac:dyDescent="0.2">
      <c r="A34" t="s">
        <v>12</v>
      </c>
      <c r="B34">
        <f>SUM(B2:B33)</f>
        <v>59</v>
      </c>
      <c r="C34">
        <f>SUM(C2:C33)</f>
        <v>67</v>
      </c>
      <c r="D34" s="1">
        <f>SUM(D2:D33)/32</f>
        <v>0.91354166666666659</v>
      </c>
      <c r="E34" s="1">
        <f>SUM(E2:E33)/32</f>
        <v>0.36875000000000008</v>
      </c>
      <c r="G34" s="1"/>
      <c r="H34" s="2"/>
    </row>
    <row r="35" spans="1:8" x14ac:dyDescent="0.2">
      <c r="D35" s="1"/>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Retrieval-Quality (new)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Djedovic</dc:creator>
  <cp:lastModifiedBy>Mustafa Djedovic</cp:lastModifiedBy>
  <dcterms:created xsi:type="dcterms:W3CDTF">2026-05-17T13:42:25Z</dcterms:created>
  <dcterms:modified xsi:type="dcterms:W3CDTF">2026-05-17T13:42:46Z</dcterms:modified>
</cp:coreProperties>
</file>